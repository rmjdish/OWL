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Q:\rmjdish\"/>
    </mc:Choice>
  </mc:AlternateContent>
  <xr:revisionPtr revIDLastSave="0" documentId="13_ncr:1_{5AFE931D-FC03-4B59-98E0-908BDC6BEE12}" xr6:coauthVersionLast="47" xr6:coauthVersionMax="47" xr10:uidLastSave="{00000000-0000-0000-0000-000000000000}"/>
  <bookViews>
    <workbookView xWindow="2205" yWindow="0" windowWidth="18000" windowHeight="15600" xr2:uid="{BF5C6858-8849-464B-BFFF-EA4DD55D1A19}"/>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1" l="1"/>
  <c r="L7" i="1"/>
</calcChain>
</file>

<file path=xl/sharedStrings.xml><?xml version="1.0" encoding="utf-8"?>
<sst xmlns="http://schemas.openxmlformats.org/spreadsheetml/2006/main" count="326" uniqueCount="191">
  <si>
    <r>
      <rPr>
        <b/>
        <sz val="11"/>
        <color theme="1"/>
        <rFont val="Calibri"/>
        <family val="2"/>
        <scheme val="minor"/>
      </rPr>
      <t>Purpose</t>
    </r>
    <r>
      <rPr>
        <sz val="11"/>
        <color theme="1"/>
        <rFont val="Calibri"/>
        <family val="2"/>
        <scheme val="minor"/>
      </rPr>
      <t xml:space="preserve">: The information you provide in this File 2 Documentation Spreadsheet serves two purposes: 
1. </t>
    </r>
    <r>
      <rPr>
        <b/>
        <sz val="11"/>
        <color theme="1"/>
        <rFont val="Calibri"/>
        <family val="2"/>
        <scheme val="minor"/>
      </rPr>
      <t>Swansea University</t>
    </r>
    <r>
      <rPr>
        <sz val="11"/>
        <color theme="1"/>
        <rFont val="Calibri"/>
        <family val="2"/>
        <scheme val="minor"/>
      </rPr>
      <t xml:space="preserve"> will use the information to load File 2s (de-identified LPS attribute data) into the UK LLC TRE.  
2. </t>
    </r>
    <r>
      <rPr>
        <b/>
        <sz val="11"/>
        <color theme="1"/>
        <rFont val="Calibri"/>
        <family val="2"/>
        <scheme val="minor"/>
      </rPr>
      <t>Researchers</t>
    </r>
    <r>
      <rPr>
        <sz val="11"/>
        <color theme="1"/>
        <rFont val="Calibri"/>
        <family val="2"/>
        <scheme val="minor"/>
      </rPr>
      <t xml:space="preserve"> will use the information to select the datasets they need for their research projects during the UK LLC application process. 
Please note the information you provide in this spreadsheet will be </t>
    </r>
    <r>
      <rPr>
        <b/>
        <sz val="11"/>
        <color theme="1"/>
        <rFont val="Calibri"/>
        <family val="2"/>
        <scheme val="minor"/>
      </rPr>
      <t>shared externally</t>
    </r>
    <r>
      <rPr>
        <sz val="11"/>
        <color theme="1"/>
        <rFont val="Calibri"/>
        <family val="2"/>
        <scheme val="minor"/>
      </rPr>
      <t>, unless you specify otherwise.</t>
    </r>
  </si>
  <si>
    <r>
      <rPr>
        <b/>
        <sz val="11"/>
        <color theme="1"/>
        <rFont val="Calibri"/>
        <family val="2"/>
        <scheme val="minor"/>
      </rPr>
      <t>Instructions</t>
    </r>
    <r>
      <rPr>
        <sz val="11"/>
        <color theme="1"/>
        <rFont val="Calibri"/>
        <family val="2"/>
        <scheme val="minor"/>
      </rPr>
      <t xml:space="preserve">: Please work through this spreadsheet carefully and provide information about </t>
    </r>
    <r>
      <rPr>
        <b/>
        <sz val="11"/>
        <color theme="1"/>
        <rFont val="Calibri"/>
        <family val="2"/>
        <scheme val="minor"/>
      </rPr>
      <t>ALL</t>
    </r>
    <r>
      <rPr>
        <sz val="11"/>
        <color theme="1"/>
        <rFont val="Calibri"/>
        <family val="2"/>
        <scheme val="minor"/>
      </rPr>
      <t xml:space="preserve"> datasets you share with UK LLC (via Swansea). Please indicate if you wish to remove any datasets previously provided, or if a dataset is a new version and should replace an older dataset. Add details about each dataset to the first empty row on this spreadsheet (one line per dataset), making sure to include the date each dataset was sent to Swansea. 
Please send your completed spreadsheet at the same time you send your File 2s to Swansea. 
Also remember to </t>
    </r>
    <r>
      <rPr>
        <b/>
        <sz val="11"/>
        <color theme="1"/>
        <rFont val="Calibri"/>
        <family val="2"/>
        <scheme val="minor"/>
      </rPr>
      <t>send your completed spreadsheet (but NOT your File 2s) to the UK LLC Data Team: support@ukllc.ac.uk.</t>
    </r>
  </si>
  <si>
    <t>1.Date File Sent</t>
  </si>
  <si>
    <r>
      <t xml:space="preserve">2. </t>
    </r>
    <r>
      <rPr>
        <b/>
        <u/>
        <sz val="11"/>
        <rFont val="Calibri"/>
        <family val="2"/>
        <scheme val="minor"/>
      </rPr>
      <t>Dataset</t>
    </r>
    <r>
      <rPr>
        <b/>
        <sz val="11"/>
        <rFont val="Calibri"/>
        <family val="2"/>
        <scheme val="minor"/>
      </rPr>
      <t xml:space="preserve"> File Name </t>
    </r>
  </si>
  <si>
    <t>3. Dataset Name for Documentation</t>
  </si>
  <si>
    <t>4.  Long Description</t>
  </si>
  <si>
    <t>5. Short Description</t>
  </si>
  <si>
    <t>6. File Format</t>
  </si>
  <si>
    <t>7. File Includes Metadata</t>
  </si>
  <si>
    <r>
      <t xml:space="preserve">8. </t>
    </r>
    <r>
      <rPr>
        <b/>
        <u/>
        <sz val="11"/>
        <color rgb="FF000000"/>
        <rFont val="Calibri"/>
        <scheme val="minor"/>
      </rPr>
      <t>Values</t>
    </r>
    <r>
      <rPr>
        <b/>
        <sz val="11"/>
        <color rgb="FF000000"/>
        <rFont val="Calibri"/>
        <scheme val="minor"/>
      </rPr>
      <t xml:space="preserve"> File Name</t>
    </r>
  </si>
  <si>
    <r>
      <t xml:space="preserve">9. </t>
    </r>
    <r>
      <rPr>
        <b/>
        <u/>
        <sz val="11"/>
        <color rgb="FF000000"/>
        <rFont val="Calibri"/>
        <scheme val="minor"/>
      </rPr>
      <t xml:space="preserve">Variable Labels </t>
    </r>
    <r>
      <rPr>
        <b/>
        <sz val="11"/>
        <color rgb="FF000000"/>
        <rFont val="Calibri"/>
        <scheme val="minor"/>
      </rPr>
      <t xml:space="preserve">File Name </t>
    </r>
  </si>
  <si>
    <t>10a. Timepoint: Collection Start</t>
  </si>
  <si>
    <t>10b. Timepoint: Collection End</t>
  </si>
  <si>
    <t>11. Number of Participants Invited (n=)</t>
  </si>
  <si>
    <t>12. Number of Participants Included (n=)</t>
  </si>
  <si>
    <t>13. Inclusion Criteria</t>
  </si>
  <si>
    <t>14. Keywords</t>
  </si>
  <si>
    <t>15. Sensitivity</t>
  </si>
  <si>
    <t>16. Link To Key Dataset Documentation</t>
  </si>
  <si>
    <t>17. IDs For Encryption</t>
  </si>
  <si>
    <t>18. Changes Since Last Version</t>
  </si>
  <si>
    <t>19. Notes (for UK LLC Data Team)</t>
  </si>
  <si>
    <t>20. Age variable(s)</t>
  </si>
  <si>
    <t>21. Date of birth variable(s)</t>
  </si>
  <si>
    <t>22. Sex variable(s)</t>
  </si>
  <si>
    <t>23. Gender variable(s)</t>
  </si>
  <si>
    <t>24. Ethnicity variable(s)</t>
  </si>
  <si>
    <t>25. Education variable(s)</t>
  </si>
  <si>
    <t xml:space="preserve">Please state the date the file was sent to Swansea (DD/MM/YYYY) </t>
  </si>
  <si>
    <t>The name of the file as you sent it</t>
  </si>
  <si>
    <t>In approximately 1-5 words describe the dataset to make it clear to researchers at a single glance which data are included</t>
  </si>
  <si>
    <t xml:space="preserve">In approx. 3-5 sentences introduce the dataset in sufficient detail for a researcher to know whether they want to include it in their data request </t>
  </si>
  <si>
    <t>In 1 sentence summarise the dataset to differentiate it from others in the list</t>
  </si>
  <si>
    <t>(STATA, SPSS, CSV) In the cases of STATA and SPSS, please provide the version used to generate data</t>
  </si>
  <si>
    <t>(Y/N) If no, add metadata file names (questions 8 and 9). If yes, skip questions 8 and 9</t>
  </si>
  <si>
    <t>(where provided separately)</t>
  </si>
  <si>
    <t>Please give a date in the format MM/YYYY</t>
  </si>
  <si>
    <t>Please give a date in the format MM/YYYY. If collection is ongoing, enter "ongoing"</t>
  </si>
  <si>
    <t>Please indicate the number of participants invited to take part in data collection exercise</t>
  </si>
  <si>
    <t>Please indicate the number of participants included in the dataset provided to Swansea (i.e. row count)</t>
  </si>
  <si>
    <t>Are the participants included in this dataset a purposefully selected subset of your original cohort?
(i.e. selection other than that influenced by attrition/withdrawal)</t>
  </si>
  <si>
    <t>Please enter comma separated keywords that describe the dataset. Enter as many keywords as necessary</t>
  </si>
  <si>
    <t xml:space="preserve">Does this dataset contain sensitive data? Would you like this dataset treated differently to the other datasets provided? </t>
  </si>
  <si>
    <t>Link to dataset documentation - please ensure there is a single link in the column below. In order of preference: 
1. Link to publication about specific dataset (if available).
2. Link to documentation about specific dataset (if available). 
3. Link to the general LPS level documentation (if available). 
4. If no documentation exists, please link to the LPS URL</t>
  </si>
  <si>
    <t xml:space="preserve">Does the dataset contain any IDs relating to family structure or household? Examples include household IDs or twin IDs to allow grouping. If so, please list the variable names (comma separated) as these will need to be encrypted. Note, these IDs should not be real world identifiers </t>
  </si>
  <si>
    <t>If this is a new version of a previously provided dataset please describe the differences between this version and the last</t>
  </si>
  <si>
    <t xml:space="preserve">Please write any notes related to the dataset here (e.g. is this dataset a new version of a previously provided dataset, is this dataset no longer needed in the database etc.) </t>
  </si>
  <si>
    <t>Please write the name of any variables which record the age of participants at the point of data collection. These names must be included in the Variable Labels file (named in question 9).</t>
  </si>
  <si>
    <t>Please write the name of the variable which records participants' date of birth. These names must be included in the Variable Labels file (named in question 9)</t>
  </si>
  <si>
    <t>Please write the name of any variables which record participants' sex. These names must be included in the Variable Labels file (named in question 9)</t>
  </si>
  <si>
    <t>Please write the name of any variables which record participants' gender. These names must be included in the Variable Labels file (named in question 9)</t>
  </si>
  <si>
    <t>Please write the name of any variables which record participants' ethnic group. These names must be included in the Variable Labels file (named in question 9)</t>
  </si>
  <si>
    <t>Please write the name of any variables which record participants' education (either all, or the highest, qualifications obtained). These names must be included in the Variable Labels file (named in question 9)</t>
  </si>
  <si>
    <t>N</t>
  </si>
  <si>
    <t>sex</t>
  </si>
  <si>
    <t>APOE - rs7413 and rs429358</t>
  </si>
  <si>
    <t xml:space="preserve">APOE for SNPs rs7413 and rs429358. </t>
  </si>
  <si>
    <t>03/1999</t>
  </si>
  <si>
    <t>11/2017</t>
  </si>
  <si>
    <t>Yes - genetic data</t>
  </si>
  <si>
    <t>No</t>
  </si>
  <si>
    <t>New dataset</t>
  </si>
  <si>
    <t>For project llc_0042</t>
  </si>
  <si>
    <t>csv</t>
  </si>
  <si>
    <t>All study participants were invited for the 1999 data collection. InsightWave 1 investigated 500 study members who were happy to come to London for an MRI scan of the brain</t>
  </si>
  <si>
    <t xml:space="preserve">APOE for SNPs rs7413 and rs429358. The SNPs were measured from blood samples taken at the 1999 data collection. If there was missing data from 1999, the measures were taken from the Insight 46 wave 1 sub-study (2018-2021).  </t>
  </si>
  <si>
    <t>NSHD46_APOE_v0001_values_20260217.csv</t>
  </si>
  <si>
    <t>NSHD46_APOE_v0001_description_20260217.csv</t>
  </si>
  <si>
    <t>APOE,  rs7413,  rs429358, Genetics, DNA</t>
  </si>
  <si>
    <t xml:space="preserve">All active study participants </t>
  </si>
  <si>
    <t>Yes - low cell counts</t>
  </si>
  <si>
    <t>N/A</t>
  </si>
  <si>
    <t>Yes - Date information</t>
  </si>
  <si>
    <t>Topic - Blood Biochemistry (Category 2011)</t>
  </si>
  <si>
    <t>01/1999</t>
  </si>
  <si>
    <t>12/2023</t>
  </si>
  <si>
    <t>A range of key biochemistry markers were measured in the blood samples collected at 1999 (at age 53 years) and repeated at 2006-2010 (at age 60-64 years), 2015 (age 69 years) and 2023 (age 77 years).</t>
  </si>
  <si>
    <t>Topic - Anthropometry (Category 11021)</t>
  </si>
  <si>
    <t>03/1946</t>
  </si>
  <si>
    <t>Blood biochemistry, assays</t>
  </si>
  <si>
    <t>height, weight, body mass index (bmi), physical measures</t>
  </si>
  <si>
    <t>01/1982</t>
  </si>
  <si>
    <t>blood pressure, systolic, diastolic, pulse rate, arterial, hypertension</t>
  </si>
  <si>
    <t>Yes - Text variable</t>
  </si>
  <si>
    <t>Topic - Blood Pressure (Category 1103)</t>
  </si>
  <si>
    <t>Topic - Cancer (Category 51012)</t>
  </si>
  <si>
    <t>Yes - ICD codes and low cell counts</t>
  </si>
  <si>
    <t>12/2015</t>
  </si>
  <si>
    <t>Cancer, ICD</t>
  </si>
  <si>
    <t>Topic - Clinical disorders (category 51021)</t>
  </si>
  <si>
    <t>01/2006</t>
  </si>
  <si>
    <t>12/2010</t>
  </si>
  <si>
    <t>Clinical disorders, cardio, cerebo-vascular disease, hypertension, raised cholesterol, renal impairment, diabetes, obesity, hypothyroidism, hyperthyroidism, anaemia, respiratory disease, liver disease, psychiatric problems, cancer, atrial fibrillation, ECG, osteporosis.</t>
  </si>
  <si>
    <t>Topic - Endocrine and metabolic conditions (category 51015)</t>
  </si>
  <si>
    <t>12/2025</t>
  </si>
  <si>
    <t>endocrine, metabolic, diabetes, thyroid, hyperthyroidism</t>
  </si>
  <si>
    <t>Yes - low cell counts, date information</t>
  </si>
  <si>
    <t xml:space="preserve"> </t>
  </si>
  <si>
    <t>Topic - Heart and circulatory conditions (category 51014)</t>
  </si>
  <si>
    <t xml:space="preserve">heart, circulatory, cardiovascular, attacks, failure, pulmonary, embolism, stroke, varicose veins, angina, chest </t>
  </si>
  <si>
    <t>Topic - Repiratory conditions (category 51013)</t>
  </si>
  <si>
    <t>01/1948</t>
  </si>
  <si>
    <t>respiratory, copd, asthma, hay fever, bronchitis, emphysema</t>
  </si>
  <si>
    <t>Topic - Alcohol (category 5252)</t>
  </si>
  <si>
    <t>12/2022</t>
  </si>
  <si>
    <t>alcohol, drinking, spirits, wine, beer, larger, cider, stout, liqueurs, drink</t>
  </si>
  <si>
    <t>Topic - Smoking (category 5251)</t>
  </si>
  <si>
    <t>01/1966</t>
  </si>
  <si>
    <t>smoking, cigarettes, pipes, vapes, pack</t>
  </si>
  <si>
    <t>Data on body composition measures that were taken manually i.e. weight, standing and sitting height, body mass index (BMI) and abdominal/hip/chest/arm circumference. Measures were taken from birth to adulthood.</t>
  </si>
  <si>
    <t>Information on blood pressure measurements systolic/diastolic and pulse rate using the Omron digital blood pressure monitor. Mean arterial pressure and derived hypertension variables are also available. Information was also collected on the willingness of participant to have blood pressure measured. Some or all of these measures are available in 1982 (age 36 years), 1989 (age 43 years), 1999 (age 53 years), 2006-10 (age 60-64 years), 2015 (age 69 years) and 2023 (age 77 years).</t>
  </si>
  <si>
    <t>Data from the questionnaires on cancer (self reported). Data was collected in 1982 (age 36 years), 1989 (age 43 years), 1999 (age 53 years), 2006-10 (age 60-64 years) and 2015 (age 69 years). Information includes ICD codes and age of cancer, whether medicine was prescribed.</t>
  </si>
  <si>
    <t>Derived clinical disorder variables in 2006-10 (at age 60-64 years). These include cardio and cerebo-vascular disease, hypertension, raised cholesterol, renal impairment, diabetes, obesity, hypothyroidism, hyperthyroidism, anaemia, respiratory disease, liver disease, psychiatric problems, cancer, atrial fibrillation on ECG and osteporosis.</t>
  </si>
  <si>
    <t>Data from the questionnaires on whether the participant has any endocrine and metabolic conditions asked in 1982 (age 36 years), 1989 (age 43 years), 1999 (age 53 years), 2006-10 (age 60-64 years), 2014 (age 68 years), 2015 (age 69 years) and 2025 (age 79 years). Data collected includes the type of diabetes, how it is being controlled and the date of diagnosis. At age 60-64 years GP validation was also carried out. The CLS harmonisation dataset which also includes the covid questionnaires 2020-2022 is also included.</t>
  </si>
  <si>
    <t>Data from the questionnaires on whether the participant had any heart or circulatory conditions i.e. heart attacks, heart failure, pulmonary embolism, strokes and varicose veins or blood pressure problems. Discomfort in the leg and chest were also recorded. Rose angina variables were derived. Questions were asked in 1982 (age 36 years), 1989 (age 43 years), 1999 (age 53 years), 2006-10 (age 60-64 years), 2014 (age 68 years), 2015 (age 69 years), 2022 (age 76 years) and 2025 (age 79 years).</t>
  </si>
  <si>
    <t>Data from the questionnaires on whether the participant has and respiratory conditions i.e chronic lung disease, COPD, emphysema, asthma, bronchitis and hayfever. They were also asked if they were prescribed medication. CLS asthma harmonisation dataset is also included). Questions were asked in 1948 (age 2 years), 1952 (age 6 years), 1953 (age 7 years), 1957 (age 11 years), 1961 (age 15 years), 1966 (age 20 years), 1971 (age 25 years), 1977 (age 31 years), 1982 (age 36 years), 1989 (age 43 years), 1999 (age 53 years), 2006-10 (age 60-64 years), 2014 (age 68 years), 2015 (age 69 years), 2020-21 (covid), 2022 (age 76 years), 2023 (age 77 years) and 2025 (age 79 years).</t>
  </si>
  <si>
    <t>Data from the questionnaires on drinking alcohol i.e amount of alcohol drunk, drinking habits, others concerned about your drinking, feeling and mood after drinking. Questions were asked in 1982 (age 36 years), 1989 (age 43 years), 1999 (age 53 years), 2006-10 (age 60-64 years), 2014 (age 68 years), 2015 (age 69 years) and 2022 (age 76 years).</t>
  </si>
  <si>
    <t>Information on blood pressure measurements systolic/diastolic and pulse rate using the Omron digital blood pressure monitor. Mean arterial pressure and derived hypertension variables are also available.</t>
  </si>
  <si>
    <t xml:space="preserve">Data from the questionnaires on whether the participant has any endocrine and metabolic conditions asked in 1982 (age 36 years), 1989 (age 43 years), 1999 (age 53 years), 2006-10 (age 60-64 years), 2014 (age 68 years), 2015 (age 69 years) and 2025 (age 79 years). </t>
  </si>
  <si>
    <t xml:space="preserve">Data from the questionnaires on whether the participant had any heart or circulatory conditions i.e. heart attacks, heart failure, pulmonary embolism, strokes and varicose veins or blood pressure problems. Discomfort in the leg and chest were also recorded. Rose angina variables were derived. </t>
  </si>
  <si>
    <t>Data from the questionnaires on whether the participant has and respiratory conditions i.e chronic lung disease, COPD, emphysema, asthma, bronchitis and hayfever. They were also asked if they were prescribed medication. CLS asthma harmonisation dataset is also included).</t>
  </si>
  <si>
    <t>Data from the questionnaires on drinking alcohol i.e amount of alcohol drunk, drinking habits, others concerned about your drinking, feeling and mood after drinking.</t>
  </si>
  <si>
    <t>Topic - EPIC Physical activity questionnaire (category 5211)</t>
  </si>
  <si>
    <t>This category contains raw and derived data from the EPAQ2, which assessed self-report physical activity in four domains (leisure time, occupation, transportation and domestic life). Estimates of PA energy expenditure (PAEE) sedentary behaviour, light (LPA) and moderate-to-vigorous PA (MVPA) were obtained from EPAQ2.</t>
  </si>
  <si>
    <t>Data from the questionnaires on smoking cigarettes, pipes and vapes. Both cross-sectional and longitudinal variables are available. Participants were asked questions like,  how many cigarettes they smoked and how long ago they gave up smoking and when they started. Derived smoking pack-years variables are also available. Questions were asked in 1966 (age 20 years), 1971 (age 25 years), 1977 (age 31 years), 1982 (age 36 years), 1989 (age 43 years), 1999 (age 53 years), 2006-10 (age 60-64 years), 2014 (age 68 years), 2015 (age 69 years) and 2022 (age 76 years).</t>
  </si>
  <si>
    <t>Data from the questionnaires on smoking cigarettes, pipes and vapes. Both cross-sectional and longitudinal variables are available. Participants were asked questions like,  how many cigarettes they smoked and how long ago they gave up smoking and when they started. Derived smoking pack-years variables are also available.</t>
  </si>
  <si>
    <t>EPAQ2, physical, activity, leisure, transportation, energy, expenditure, PAEE</t>
  </si>
  <si>
    <t>Topic - Economic circumstances (category 5151)</t>
  </si>
  <si>
    <t>Data contains raw and derived data from the EPAQ2, which assessed self-report physical activity in four domains (leisure time, occupation, transportation and domestic life). Estimates of PA energy expenditure (PAEE) sedentary behaviour, light (LPA) and moderate-to-vigorous PA (MVPA) were obtained from EPAQ2. Quesitons were asked in 2006-10 (age 60-64 years).</t>
  </si>
  <si>
    <t xml:space="preserve">Data on the economic circumstances of the participant such as personal and household income, hours worked including overtime, special payments, financial difficulties and benefit details. Information from spouse was also obtained. </t>
  </si>
  <si>
    <t>01/1972</t>
  </si>
  <si>
    <t>income, earnings, overtime, allowance, benefits, economic, circumstances, pay, salary</t>
  </si>
  <si>
    <t>Data on the economic circumstances of the participant such as personal and household income, hours worked including overtime, special payments, financial difficulties and benefit details. Information from spouse was also obtained. Questions were asked in 1972 (age 26 years),  1982 (age 36 years), 1989 (age 43 years), 1999 (age 53 years), 2006-10 (age 60-64 years), 2015 (age 69 years), 2023 (age 77 years) and 2025 (age 79 years).</t>
  </si>
  <si>
    <t>Topic - Education (category 5155)</t>
  </si>
  <si>
    <t>This category contains data from the questionnaires on educational attainment of both the participant and spouse. Age at leaving school and whether been on any training courses were also asked. Childhood data on education such as the CLS harmonisation variables on parental interest in childs education and length of time absent from school due to illness are included.  Questions come from childhood and adulthood questionnaires.</t>
  </si>
  <si>
    <t>01/1956</t>
  </si>
  <si>
    <t>education, qualification, training, school</t>
  </si>
  <si>
    <t>This category contains data on the employment history which includes voluntary work and retirement. Details captured included, number of hours works , overtime, manegerial duties,  occupational codes. Similar information is available for the spouse. Questions were asked in 1982 (age 36 years), 1989 (age 43 years), 1999 (age 53 years), 2006-10 (age 60-64 years), 2014 (age 68 years), 2015 (age 69 years), 2022 (age 76 years) and 2025 (age 79 years).</t>
  </si>
  <si>
    <t>This category contains data on the employment history which includes voluntary work and retirement. Details captured included, number of hours works , overtime, manegerial duties,  occupational codes. Similar information is available for the spouse.</t>
  </si>
  <si>
    <t>Topic - Employment history (category 5154)</t>
  </si>
  <si>
    <t>employment, occupation, work, job, voluntary, retirement</t>
  </si>
  <si>
    <t>Topic - Household (category 5152)</t>
  </si>
  <si>
    <t>This category contains data on the housing, household composition, number of children/grandchildren, whether living with partner, number of vehicles and pets. Includes the CLS harmonisation variables on number of children at different ages. Questions were asked in througout childhood and adulthood.</t>
  </si>
  <si>
    <t>This category contains data on the housing, household composition, number of children/grandchildren, whether living with partner, number of vehicles and pets. Includes the CLS harmonisation variables on number of children at different ages.</t>
  </si>
  <si>
    <t>housing, household, accomadation, children, grandchildren, vehicles, pets</t>
  </si>
  <si>
    <t>NSHD46_APOE_v0001_20260422</t>
  </si>
  <si>
    <t>NSHD46_CAT-2011_Blood_Biochemistry_v0001_20260907</t>
  </si>
  <si>
    <t>NSHD46_CAT-2011_Blood_Biochemistry_v0001_values_20260907.csv</t>
  </si>
  <si>
    <t>NSHD46_CAT-2011_Blood_Biochemistry_v0001_description_20260907.csv</t>
  </si>
  <si>
    <t>NSHD46_CAT-11021_Anthropometry_v0001_20260907</t>
  </si>
  <si>
    <t>NSHD46_CAT-11021_Anthropometry_v0001_description_20260907.csv</t>
  </si>
  <si>
    <t>NSHD46_CAT-11021_Anthropometry_v0001_values_20260907.csv</t>
  </si>
  <si>
    <t>NSHD46_CAT-1103_BP_v0001_20260907</t>
  </si>
  <si>
    <t>NSHD46_CAT-1103_BP_v0001_values_20260907.csv</t>
  </si>
  <si>
    <t>NSHD46_CAT-1103_BP_v0001_description_20260907.csv</t>
  </si>
  <si>
    <t>NSHD46_CAT-51012_Cancer_v0001_20260907</t>
  </si>
  <si>
    <t>NSHD46_CAT-51012_Cancer_v0001_values_20260907.csv</t>
  </si>
  <si>
    <t>NSHD46_CAT-51012_Cancer_v0001_description_20260907.csv</t>
  </si>
  <si>
    <t>NSHD46_CAT-51021_Clin_disorder_v0001_20260907</t>
  </si>
  <si>
    <t>NSHD46_CAT-51021_Clin_disorder_v0001_values_20260907.csv</t>
  </si>
  <si>
    <t>NSHD46_CAT-51021_Clin_disorder_v0001_description_20260907.csv</t>
  </si>
  <si>
    <t>NSHD46_CAT-51015_Endo_Metab_v0001_20260907</t>
  </si>
  <si>
    <t>NSHD46_CAT-51015_Endo_Metab_v0001_values_20260907.csv</t>
  </si>
  <si>
    <t>NSHD46_CAT-51015_Endo_Metab_v0001_description_20260907.csv</t>
  </si>
  <si>
    <t>NSHD46_CAT-51014_Heart_Circ_v0001_20260907</t>
  </si>
  <si>
    <t>NSHD46_CAT-51014_Heart_Circ_v0001_values_20260907.csv</t>
  </si>
  <si>
    <t>NSHD46_CAT-51014_Heart_Circ_v0001_description_20260907.csv</t>
  </si>
  <si>
    <t>NSHD46_CAT-51013_Respiratory_v0001_20260907</t>
  </si>
  <si>
    <t>NSHD46_CAT-51013_Respiratory_v0001_description_20260907.csv</t>
  </si>
  <si>
    <t>NSHD46_CAT-51013_Respiratory_v0001_values_20260907.csv</t>
  </si>
  <si>
    <t>NSHD46_CAT-5252_Alcohol_v0001_20260907</t>
  </si>
  <si>
    <t>NSHD46_CAT-5252_Alcohol_v0001_values_20260907.csv</t>
  </si>
  <si>
    <t>NSHD46_CAT-5252_Alcohol_v0001_description_20260907.csv</t>
  </si>
  <si>
    <t>NSHD46_CAT-5251_Smoking_v0001_20260907</t>
  </si>
  <si>
    <t>NSHD46_CAT-5251_Smoking_v0001_values_20260907.csv</t>
  </si>
  <si>
    <t>NSHD46_CAT-5251_Smoking_v0001_description_20260907.csv</t>
  </si>
  <si>
    <t>NSHD46_CAT-5211_EPIC_v0001_20260907</t>
  </si>
  <si>
    <t>NSHD46_CAT-5211_EPIC_v0001_values_20260907.csv</t>
  </si>
  <si>
    <t>NSHD46_CAT-5211_EPIC_v0001_description_20260907.csv</t>
  </si>
  <si>
    <t>NSHD46_CAT-5151_Econ_Circ_v0001_20260907</t>
  </si>
  <si>
    <t>NSHD46_CAT-5151_Econ_Circ_v0001_description_20260907.csv</t>
  </si>
  <si>
    <t>NSHD46_CAT-5151_Econ_Circ_v0001_values_20260907.csv</t>
  </si>
  <si>
    <t>NSHD46_CAT-5155_Education_v0001_20260907</t>
  </si>
  <si>
    <t>NSHD46_CAT-5155_Education_v0001_values_20260907.csv</t>
  </si>
  <si>
    <t>NSHD46_CAT-5155_Education_v0001_description_20260907.csv</t>
  </si>
  <si>
    <t>NSHD46_CAT-5154_Emplymnt_Hist_v0001_20260907</t>
  </si>
  <si>
    <t>NSHD46_CAT-5154_Emplymnt_Hist_v0001_values_20260907.csv</t>
  </si>
  <si>
    <t>NSHD46_CAT-5154_Emplymnt_Hist_v0001_description_20260907.csv</t>
  </si>
  <si>
    <t>NSHD46_CAT-5152_Household_v0001_20260907.csv</t>
  </si>
  <si>
    <t>NSHD46_CAT-5152_Household_v0001_values_20260907.csv</t>
  </si>
  <si>
    <t>NSHD46_CAT-5152_Household_v0001_description_20260907.csv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</si>
</sst>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scheme val="minor"/>
    </font>
    <font>
      <b/>
      <sz val="8"/>
      <name val="Calibri"/>
      <family val="2"/>
      <scheme val="minor"/>
    </font>
    <font>
      <b/>
      <u/>
      <sz val="11"/>
      <name val="Calibri"/>
      <family val="2"/>
      <scheme val="minor"/>
    </font>
    <font>
      <b/>
      <sz val="11"/>
      <color theme="1"/>
      <name val="Calibri"/>
      <family val="2"/>
      <scheme val="minor"/>
    </font>
    <font>
      <b/>
      <sz val="11"/>
      <color rgb="FF000000"/>
      <name val="Calibri"/>
      <scheme val="minor"/>
    </font>
    <font>
      <b/>
      <u/>
      <sz val="11"/>
      <color rgb="FF000000"/>
      <name val="Calibri"/>
      <scheme val="minor"/>
    </font>
    <font>
      <b/>
      <sz val="8"/>
      <color rgb="FF000000"/>
      <name val="Calibri"/>
      <family val="2"/>
      <scheme val="minor"/>
    </font>
    <font>
      <sz val="11"/>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D9E1F2"/>
        <bgColor rgb="FF000000"/>
      </patternFill>
    </fill>
    <fill>
      <patternFill patternType="solid">
        <fgColor theme="4" tint="0.79998168889431442"/>
        <bgColor rgb="FF000000"/>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right/>
      <top/>
      <bottom style="thin">
        <color rgb="FF000000"/>
      </bottom>
      <diagonal/>
    </border>
    <border>
      <left/>
      <right/>
      <top style="thin">
        <color theme="9" tint="0.39997558519241921"/>
      </top>
      <bottom style="thin">
        <color theme="9" tint="0.39997558519241921"/>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1" xfId="0" applyBorder="1"/>
    <xf numFmtId="0" fontId="2" fillId="4" borderId="6" xfId="0" applyFont="1" applyFill="1" applyBorder="1" applyAlignment="1">
      <alignment horizontal="center" vertical="center" wrapText="1"/>
    </xf>
    <xf numFmtId="0" fontId="1" fillId="4" borderId="5" xfId="0" applyFont="1" applyFill="1" applyBorder="1" applyAlignment="1">
      <alignment horizontal="center" vertical="center"/>
    </xf>
    <xf numFmtId="0" fontId="1" fillId="4" borderId="5"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1" fillId="4" borderId="12" xfId="0" applyFont="1" applyFill="1" applyBorder="1" applyAlignment="1">
      <alignment horizontal="center" vertical="center"/>
    </xf>
    <xf numFmtId="0" fontId="5" fillId="4" borderId="5"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wrapText="1"/>
    </xf>
    <xf numFmtId="14" fontId="0" fillId="0" borderId="1" xfId="0" applyNumberFormat="1" applyBorder="1" applyAlignment="1">
      <alignment horizontal="center" wrapText="1"/>
    </xf>
    <xf numFmtId="14" fontId="0" fillId="0" borderId="1" xfId="0" applyNumberFormat="1" applyBorder="1"/>
    <xf numFmtId="49" fontId="0" fillId="0" borderId="1" xfId="0" applyNumberFormat="1" applyBorder="1"/>
    <xf numFmtId="0" fontId="0" fillId="6" borderId="1" xfId="0" applyFill="1" applyBorder="1"/>
    <xf numFmtId="49" fontId="0" fillId="6" borderId="1" xfId="0" applyNumberFormat="1" applyFill="1" applyBorder="1"/>
    <xf numFmtId="0" fontId="8" fillId="0" borderId="17" xfId="0" applyFont="1" applyBorder="1" applyAlignment="1">
      <alignment wrapText="1"/>
    </xf>
    <xf numFmtId="0" fontId="0" fillId="3" borderId="2" xfId="0" applyFill="1" applyBorder="1" applyAlignment="1">
      <alignment horizontal="left" vertical="center" wrapText="1"/>
    </xf>
    <xf numFmtId="0" fontId="0" fillId="3" borderId="4" xfId="0" applyFill="1" applyBorder="1" applyAlignment="1">
      <alignment horizontal="left" vertical="center" wrapText="1"/>
    </xf>
    <xf numFmtId="0" fontId="0" fillId="3" borderId="3"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7"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E288-64E3-40B9-871A-CF28D789BFEF}">
  <dimension ref="A2:Z31"/>
  <sheetViews>
    <sheetView tabSelected="1" topLeftCell="A4" zoomScale="85" zoomScaleNormal="85" workbookViewId="0">
      <pane xSplit="1" ySplit="3" topLeftCell="B11" activePane="bottomRight" state="frozen"/>
      <selection activeCell="A4" sqref="A4"/>
      <selection pane="topRight" activeCell="B4" sqref="B4"/>
      <selection pane="bottomLeft" activeCell="A7" sqref="A7"/>
      <selection pane="bottomRight" activeCell="Z22" sqref="A22:Z22"/>
    </sheetView>
  </sheetViews>
  <sheetFormatPr defaultRowHeight="15" customHeight="1" x14ac:dyDescent="0.25"/>
  <cols>
    <col min="1" max="1" width="22.5703125" customWidth="1"/>
    <col min="2" max="3" width="30.42578125" customWidth="1"/>
    <col min="4" max="4" width="43.7109375" customWidth="1"/>
    <col min="5" max="5" width="30.42578125" customWidth="1"/>
    <col min="6" max="7" width="22.85546875" customWidth="1"/>
    <col min="8" max="8" width="23.28515625" customWidth="1"/>
    <col min="9" max="9" width="25.140625" customWidth="1"/>
    <col min="10" max="11" width="26.85546875" customWidth="1"/>
    <col min="12" max="13" width="22.28515625" customWidth="1"/>
    <col min="14" max="14" width="27" customWidth="1"/>
    <col min="15" max="15" width="44.5703125" customWidth="1"/>
    <col min="16" max="16" width="24.28515625" customWidth="1"/>
    <col min="17" max="18" width="40.5703125" customWidth="1"/>
    <col min="19" max="19" width="33.5703125" customWidth="1"/>
    <col min="20" max="26" width="30.5703125" customWidth="1"/>
  </cols>
  <sheetData>
    <row r="2" spans="1:26" ht="105" customHeight="1" x14ac:dyDescent="0.25">
      <c r="A2" s="29" t="s">
        <v>0</v>
      </c>
      <c r="B2" s="30"/>
      <c r="C2" s="30"/>
      <c r="D2" s="30"/>
      <c r="E2" s="30"/>
      <c r="F2" s="30"/>
      <c r="G2" s="30"/>
      <c r="H2" s="31"/>
    </row>
    <row r="3" spans="1:26" ht="71.45" customHeight="1" x14ac:dyDescent="0.25">
      <c r="A3" s="32" t="s">
        <v>1</v>
      </c>
      <c r="B3" s="33"/>
      <c r="C3" s="33"/>
      <c r="D3" s="33"/>
      <c r="E3" s="33"/>
      <c r="F3" s="33"/>
      <c r="G3" s="33"/>
      <c r="H3" s="34"/>
    </row>
    <row r="4" spans="1:26" ht="15.75" thickBot="1" x14ac:dyDescent="0.3"/>
    <row r="5" spans="1:26" s="1" customFormat="1" ht="41.1" customHeight="1" x14ac:dyDescent="0.25">
      <c r="A5" s="4" t="s">
        <v>2</v>
      </c>
      <c r="B5" s="4" t="s">
        <v>3</v>
      </c>
      <c r="C5" s="13" t="s">
        <v>4</v>
      </c>
      <c r="D5" s="14" t="s">
        <v>5</v>
      </c>
      <c r="E5" s="15" t="s">
        <v>6</v>
      </c>
      <c r="F5" s="10" t="s">
        <v>7</v>
      </c>
      <c r="G5" s="4" t="s">
        <v>8</v>
      </c>
      <c r="H5" s="11" t="s">
        <v>9</v>
      </c>
      <c r="I5" s="11" t="s">
        <v>10</v>
      </c>
      <c r="J5" s="5" t="s">
        <v>11</v>
      </c>
      <c r="K5" s="5" t="s">
        <v>12</v>
      </c>
      <c r="L5" s="5" t="s">
        <v>13</v>
      </c>
      <c r="M5" s="5" t="s">
        <v>14</v>
      </c>
      <c r="N5" s="6" t="s">
        <v>15</v>
      </c>
      <c r="O5" s="12" t="s">
        <v>16</v>
      </c>
      <c r="P5" s="5" t="s">
        <v>17</v>
      </c>
      <c r="Q5" s="5" t="s">
        <v>18</v>
      </c>
      <c r="R5" s="5" t="s">
        <v>19</v>
      </c>
      <c r="S5" s="5" t="s">
        <v>20</v>
      </c>
      <c r="T5" s="5" t="s">
        <v>21</v>
      </c>
      <c r="U5" s="5" t="s">
        <v>22</v>
      </c>
      <c r="V5" s="5" t="s">
        <v>23</v>
      </c>
      <c r="W5" s="5" t="s">
        <v>24</v>
      </c>
      <c r="X5" s="5" t="s">
        <v>25</v>
      </c>
      <c r="Y5" s="5" t="s">
        <v>26</v>
      </c>
      <c r="Z5" s="5" t="s">
        <v>27</v>
      </c>
    </row>
    <row r="6" spans="1:26" s="1" customFormat="1" ht="106.5" customHeight="1" x14ac:dyDescent="0.25">
      <c r="A6" s="3" t="s">
        <v>28</v>
      </c>
      <c r="B6" s="3" t="s">
        <v>29</v>
      </c>
      <c r="C6" s="16" t="s">
        <v>30</v>
      </c>
      <c r="D6" s="17" t="s">
        <v>31</v>
      </c>
      <c r="E6" s="18" t="s">
        <v>32</v>
      </c>
      <c r="F6" s="8" t="s">
        <v>33</v>
      </c>
      <c r="G6" s="3" t="s">
        <v>34</v>
      </c>
      <c r="H6" s="3" t="s">
        <v>35</v>
      </c>
      <c r="I6" s="3" t="s">
        <v>35</v>
      </c>
      <c r="J6" s="3" t="s">
        <v>36</v>
      </c>
      <c r="K6" s="3" t="s">
        <v>37</v>
      </c>
      <c r="L6" s="3" t="s">
        <v>38</v>
      </c>
      <c r="M6" s="3" t="s">
        <v>39</v>
      </c>
      <c r="N6" s="7" t="s">
        <v>40</v>
      </c>
      <c r="O6" s="9" t="s">
        <v>41</v>
      </c>
      <c r="P6" s="3" t="s">
        <v>42</v>
      </c>
      <c r="Q6" s="3" t="s">
        <v>43</v>
      </c>
      <c r="R6" s="3" t="s">
        <v>44</v>
      </c>
      <c r="S6" s="3" t="s">
        <v>45</v>
      </c>
      <c r="T6" s="3" t="s">
        <v>46</v>
      </c>
      <c r="U6" s="3" t="s">
        <v>47</v>
      </c>
      <c r="V6" s="3" t="s">
        <v>48</v>
      </c>
      <c r="W6" s="3" t="s">
        <v>49</v>
      </c>
      <c r="X6" s="3" t="s">
        <v>50</v>
      </c>
      <c r="Y6" s="3" t="s">
        <v>51</v>
      </c>
      <c r="Z6" s="3" t="s">
        <v>52</v>
      </c>
    </row>
    <row r="7" spans="1:26" s="21" customFormat="1" ht="105" x14ac:dyDescent="0.25">
      <c r="A7" s="23">
        <v>45713</v>
      </c>
      <c r="B7" s="20" t="s">
        <v>145</v>
      </c>
      <c r="C7" s="20" t="s">
        <v>55</v>
      </c>
      <c r="D7" s="20" t="s">
        <v>65</v>
      </c>
      <c r="E7" s="20" t="s">
        <v>56</v>
      </c>
      <c r="F7" s="20" t="s">
        <v>63</v>
      </c>
      <c r="G7" s="20" t="s">
        <v>53</v>
      </c>
      <c r="H7" s="20" t="s">
        <v>66</v>
      </c>
      <c r="I7" s="20" t="s">
        <v>67</v>
      </c>
      <c r="J7" s="22" t="s">
        <v>57</v>
      </c>
      <c r="K7" s="22" t="s">
        <v>58</v>
      </c>
      <c r="L7" s="20">
        <f>5362-2363</f>
        <v>2999</v>
      </c>
      <c r="M7" s="20">
        <f>5362-2363-313</f>
        <v>2686</v>
      </c>
      <c r="N7" s="19" t="s">
        <v>64</v>
      </c>
      <c r="O7" s="20" t="s">
        <v>68</v>
      </c>
      <c r="P7" s="20" t="s">
        <v>59</v>
      </c>
      <c r="Q7" s="20"/>
      <c r="R7" s="20" t="s">
        <v>60</v>
      </c>
      <c r="S7" s="20" t="s">
        <v>61</v>
      </c>
      <c r="T7" s="20" t="s">
        <v>62</v>
      </c>
      <c r="U7" s="20"/>
      <c r="V7" s="20"/>
      <c r="W7" s="20" t="s">
        <v>54</v>
      </c>
      <c r="X7" s="20"/>
      <c r="Y7" s="20"/>
      <c r="Z7" s="20"/>
    </row>
    <row r="8" spans="1:26" ht="105" x14ac:dyDescent="0.25">
      <c r="A8" s="24">
        <v>46272</v>
      </c>
      <c r="B8" s="2" t="s">
        <v>146</v>
      </c>
      <c r="C8" s="2" t="s">
        <v>73</v>
      </c>
      <c r="D8" s="28" t="s">
        <v>76</v>
      </c>
      <c r="E8" s="28" t="s">
        <v>76</v>
      </c>
      <c r="F8" s="2" t="s">
        <v>63</v>
      </c>
      <c r="G8" s="2" t="s">
        <v>53</v>
      </c>
      <c r="H8" s="2" t="s">
        <v>147</v>
      </c>
      <c r="I8" s="2" t="s">
        <v>148</v>
      </c>
      <c r="J8" s="25" t="s">
        <v>74</v>
      </c>
      <c r="K8" s="25" t="s">
        <v>75</v>
      </c>
      <c r="L8" s="2">
        <v>5362</v>
      </c>
      <c r="M8" s="2">
        <v>5362</v>
      </c>
      <c r="N8" s="2" t="s">
        <v>69</v>
      </c>
      <c r="O8" s="2" t="s">
        <v>79</v>
      </c>
      <c r="P8" s="2" t="s">
        <v>72</v>
      </c>
      <c r="Q8" s="2"/>
      <c r="R8" s="20" t="s">
        <v>60</v>
      </c>
      <c r="S8" s="20" t="s">
        <v>61</v>
      </c>
      <c r="T8" s="2" t="s">
        <v>71</v>
      </c>
      <c r="U8" s="2"/>
      <c r="V8" s="2"/>
      <c r="W8" s="2" t="s">
        <v>54</v>
      </c>
      <c r="X8" s="2"/>
      <c r="Y8" s="2"/>
      <c r="Z8" s="2"/>
    </row>
    <row r="9" spans="1:26" ht="120" x14ac:dyDescent="0.25">
      <c r="A9" s="24">
        <v>46272</v>
      </c>
      <c r="B9" s="2" t="s">
        <v>149</v>
      </c>
      <c r="C9" s="2" t="s">
        <v>77</v>
      </c>
      <c r="D9" s="20" t="s">
        <v>109</v>
      </c>
      <c r="E9" s="20" t="s">
        <v>109</v>
      </c>
      <c r="F9" s="2" t="s">
        <v>63</v>
      </c>
      <c r="G9" s="2" t="s">
        <v>53</v>
      </c>
      <c r="H9" s="2" t="s">
        <v>151</v>
      </c>
      <c r="I9" s="2" t="s">
        <v>150</v>
      </c>
      <c r="J9" s="25" t="s">
        <v>78</v>
      </c>
      <c r="K9" s="25" t="s">
        <v>75</v>
      </c>
      <c r="L9" s="2">
        <v>5362</v>
      </c>
      <c r="M9" s="2">
        <v>5362</v>
      </c>
      <c r="N9" s="2" t="s">
        <v>69</v>
      </c>
      <c r="O9" s="2" t="s">
        <v>80</v>
      </c>
      <c r="P9" s="2" t="s">
        <v>60</v>
      </c>
      <c r="Q9" s="2"/>
      <c r="R9" s="20" t="s">
        <v>60</v>
      </c>
      <c r="S9" s="20" t="s">
        <v>61</v>
      </c>
      <c r="T9" s="2" t="s">
        <v>71</v>
      </c>
      <c r="U9" s="2"/>
      <c r="V9" s="2"/>
      <c r="W9" s="2" t="s">
        <v>54</v>
      </c>
      <c r="X9" s="2"/>
      <c r="Y9" s="2"/>
      <c r="Z9" s="2"/>
    </row>
    <row r="10" spans="1:26" ht="165" x14ac:dyDescent="0.25">
      <c r="A10" s="24">
        <v>46272</v>
      </c>
      <c r="B10" s="2" t="s">
        <v>152</v>
      </c>
      <c r="C10" s="2" t="s">
        <v>84</v>
      </c>
      <c r="D10" s="20" t="s">
        <v>110</v>
      </c>
      <c r="E10" s="20" t="s">
        <v>117</v>
      </c>
      <c r="F10" s="2" t="s">
        <v>63</v>
      </c>
      <c r="G10" s="2" t="s">
        <v>53</v>
      </c>
      <c r="H10" s="2" t="s">
        <v>153</v>
      </c>
      <c r="I10" s="2" t="s">
        <v>154</v>
      </c>
      <c r="J10" s="25" t="s">
        <v>81</v>
      </c>
      <c r="K10" s="25" t="s">
        <v>75</v>
      </c>
      <c r="L10" s="2">
        <v>5362</v>
      </c>
      <c r="M10" s="2">
        <v>5362</v>
      </c>
      <c r="N10" s="2" t="s">
        <v>69</v>
      </c>
      <c r="O10" s="2" t="s">
        <v>82</v>
      </c>
      <c r="P10" s="2" t="s">
        <v>83</v>
      </c>
      <c r="Q10" s="2"/>
      <c r="R10" s="20" t="s">
        <v>60</v>
      </c>
      <c r="S10" s="20" t="s">
        <v>61</v>
      </c>
      <c r="T10" s="2" t="s">
        <v>71</v>
      </c>
      <c r="U10" s="2"/>
      <c r="V10" s="2"/>
      <c r="W10" s="2" t="s">
        <v>54</v>
      </c>
      <c r="X10" s="2"/>
      <c r="Y10" s="2"/>
      <c r="Z10" s="2"/>
    </row>
    <row r="11" spans="1:26" ht="135" x14ac:dyDescent="0.25">
      <c r="A11" s="24">
        <v>46272</v>
      </c>
      <c r="B11" s="2" t="s">
        <v>155</v>
      </c>
      <c r="C11" s="26" t="s">
        <v>85</v>
      </c>
      <c r="D11" s="20" t="s">
        <v>111</v>
      </c>
      <c r="E11" s="20" t="s">
        <v>111</v>
      </c>
      <c r="F11" s="2" t="s">
        <v>63</v>
      </c>
      <c r="G11" s="2" t="s">
        <v>53</v>
      </c>
      <c r="H11" s="2" t="s">
        <v>156</v>
      </c>
      <c r="I11" s="2" t="s">
        <v>157</v>
      </c>
      <c r="J11" s="27" t="s">
        <v>81</v>
      </c>
      <c r="K11" s="27" t="s">
        <v>87</v>
      </c>
      <c r="L11" s="2">
        <v>5362</v>
      </c>
      <c r="M11" s="2">
        <v>5362</v>
      </c>
      <c r="N11" s="26" t="s">
        <v>69</v>
      </c>
      <c r="O11" s="2" t="s">
        <v>88</v>
      </c>
      <c r="P11" s="2" t="s">
        <v>86</v>
      </c>
      <c r="Q11" s="2"/>
      <c r="R11" s="20" t="s">
        <v>60</v>
      </c>
      <c r="S11" s="20" t="s">
        <v>61</v>
      </c>
      <c r="T11" s="2" t="s">
        <v>71</v>
      </c>
      <c r="U11" s="2"/>
      <c r="V11" s="2"/>
      <c r="W11" s="2" t="s">
        <v>54</v>
      </c>
      <c r="X11" s="2"/>
      <c r="Y11" s="2"/>
      <c r="Z11" s="2"/>
    </row>
    <row r="12" spans="1:26" ht="195" x14ac:dyDescent="0.25">
      <c r="A12" s="24">
        <v>46272</v>
      </c>
      <c r="B12" s="2" t="s">
        <v>158</v>
      </c>
      <c r="C12" s="2" t="s">
        <v>89</v>
      </c>
      <c r="D12" s="20" t="s">
        <v>112</v>
      </c>
      <c r="E12" s="20" t="s">
        <v>112</v>
      </c>
      <c r="F12" s="2" t="s">
        <v>63</v>
      </c>
      <c r="G12" s="2" t="s">
        <v>53</v>
      </c>
      <c r="H12" s="2" t="s">
        <v>159</v>
      </c>
      <c r="I12" s="2" t="s">
        <v>160</v>
      </c>
      <c r="J12" s="27" t="s">
        <v>90</v>
      </c>
      <c r="K12" s="27" t="s">
        <v>91</v>
      </c>
      <c r="L12" s="2">
        <v>5362</v>
      </c>
      <c r="M12" s="2">
        <v>5362</v>
      </c>
      <c r="N12" s="26" t="s">
        <v>69</v>
      </c>
      <c r="O12" s="20" t="s">
        <v>92</v>
      </c>
      <c r="P12" s="2" t="s">
        <v>70</v>
      </c>
      <c r="Q12" s="2"/>
      <c r="R12" s="20" t="s">
        <v>60</v>
      </c>
      <c r="S12" s="20" t="s">
        <v>61</v>
      </c>
      <c r="T12" s="2" t="s">
        <v>71</v>
      </c>
      <c r="U12" s="2"/>
      <c r="V12" s="2"/>
      <c r="W12" s="2" t="s">
        <v>54</v>
      </c>
      <c r="X12" s="2"/>
      <c r="Y12" s="2"/>
      <c r="Z12" s="2"/>
    </row>
    <row r="13" spans="1:26" ht="180" x14ac:dyDescent="0.25">
      <c r="A13" s="24">
        <v>46272</v>
      </c>
      <c r="B13" s="2" t="s">
        <v>161</v>
      </c>
      <c r="C13" s="2" t="s">
        <v>93</v>
      </c>
      <c r="D13" s="20" t="s">
        <v>113</v>
      </c>
      <c r="E13" s="20" t="s">
        <v>118</v>
      </c>
      <c r="F13" s="2" t="s">
        <v>63</v>
      </c>
      <c r="G13" s="2" t="s">
        <v>53</v>
      </c>
      <c r="H13" s="2" t="s">
        <v>162</v>
      </c>
      <c r="I13" s="2" t="s">
        <v>163</v>
      </c>
      <c r="J13" s="27" t="s">
        <v>81</v>
      </c>
      <c r="K13" s="27" t="s">
        <v>94</v>
      </c>
      <c r="L13" s="2">
        <v>5362</v>
      </c>
      <c r="M13" s="2">
        <v>5362</v>
      </c>
      <c r="N13" s="26" t="s">
        <v>69</v>
      </c>
      <c r="O13" s="2" t="s">
        <v>95</v>
      </c>
      <c r="P13" s="2" t="s">
        <v>96</v>
      </c>
      <c r="Q13" s="2"/>
      <c r="R13" s="20" t="s">
        <v>60</v>
      </c>
      <c r="S13" s="20" t="s">
        <v>61</v>
      </c>
      <c r="T13" s="2" t="s">
        <v>71</v>
      </c>
      <c r="U13" s="2"/>
      <c r="V13" s="2"/>
      <c r="W13" s="2" t="s">
        <v>54</v>
      </c>
      <c r="X13" s="2"/>
      <c r="Y13" s="2"/>
      <c r="Z13" s="2"/>
    </row>
    <row r="14" spans="1:26" ht="165" x14ac:dyDescent="0.25">
      <c r="A14" s="24">
        <v>46272</v>
      </c>
      <c r="B14" s="2" t="s">
        <v>164</v>
      </c>
      <c r="C14" s="2" t="s">
        <v>98</v>
      </c>
      <c r="D14" s="20" t="s">
        <v>114</v>
      </c>
      <c r="E14" s="20" t="s">
        <v>119</v>
      </c>
      <c r="F14" s="2" t="s">
        <v>63</v>
      </c>
      <c r="G14" s="2" t="s">
        <v>53</v>
      </c>
      <c r="H14" s="2" t="s">
        <v>165</v>
      </c>
      <c r="I14" s="2" t="s">
        <v>166</v>
      </c>
      <c r="J14" s="27" t="s">
        <v>81</v>
      </c>
      <c r="K14" s="27" t="s">
        <v>94</v>
      </c>
      <c r="L14" s="2">
        <v>5362</v>
      </c>
      <c r="M14" s="2">
        <v>5362</v>
      </c>
      <c r="N14" s="26" t="s">
        <v>69</v>
      </c>
      <c r="O14" s="2" t="s">
        <v>99</v>
      </c>
      <c r="P14" s="2" t="s">
        <v>86</v>
      </c>
      <c r="Q14" s="2"/>
      <c r="R14" s="20" t="s">
        <v>60</v>
      </c>
      <c r="S14" s="20" t="s">
        <v>61</v>
      </c>
      <c r="T14" s="2" t="s">
        <v>71</v>
      </c>
      <c r="U14" s="2"/>
      <c r="V14" s="2"/>
      <c r="W14" s="2" t="s">
        <v>54</v>
      </c>
      <c r="X14" s="2"/>
      <c r="Y14" s="2"/>
      <c r="Z14" s="2"/>
    </row>
    <row r="15" spans="1:26" ht="159.75" customHeight="1" x14ac:dyDescent="0.25">
      <c r="A15" s="24">
        <v>46272</v>
      </c>
      <c r="B15" s="2" t="s">
        <v>167</v>
      </c>
      <c r="C15" s="2" t="s">
        <v>100</v>
      </c>
      <c r="D15" s="20" t="s">
        <v>115</v>
      </c>
      <c r="E15" s="20" t="s">
        <v>120</v>
      </c>
      <c r="F15" s="2" t="s">
        <v>63</v>
      </c>
      <c r="G15" s="2" t="s">
        <v>53</v>
      </c>
      <c r="H15" s="2" t="s">
        <v>169</v>
      </c>
      <c r="I15" s="2" t="s">
        <v>168</v>
      </c>
      <c r="J15" s="27" t="s">
        <v>101</v>
      </c>
      <c r="K15" s="27" t="s">
        <v>94</v>
      </c>
      <c r="L15" s="2">
        <v>5362</v>
      </c>
      <c r="M15" s="2">
        <v>5362</v>
      </c>
      <c r="N15" s="26" t="s">
        <v>69</v>
      </c>
      <c r="O15" s="2" t="s">
        <v>102</v>
      </c>
      <c r="P15" s="2" t="s">
        <v>60</v>
      </c>
      <c r="Q15" s="2"/>
      <c r="R15" s="20" t="s">
        <v>60</v>
      </c>
      <c r="S15" s="20" t="s">
        <v>61</v>
      </c>
      <c r="T15" s="2" t="s">
        <v>71</v>
      </c>
      <c r="U15" s="2"/>
      <c r="V15" s="2"/>
      <c r="W15" s="2" t="s">
        <v>54</v>
      </c>
      <c r="X15" s="2"/>
      <c r="Y15" s="2"/>
      <c r="Z15" s="2"/>
    </row>
    <row r="16" spans="1:26" ht="140.25" customHeight="1" x14ac:dyDescent="0.25">
      <c r="A16" s="24">
        <v>46272</v>
      </c>
      <c r="B16" s="2" t="s">
        <v>170</v>
      </c>
      <c r="C16" s="2" t="s">
        <v>103</v>
      </c>
      <c r="D16" s="20" t="s">
        <v>116</v>
      </c>
      <c r="E16" s="20" t="s">
        <v>121</v>
      </c>
      <c r="F16" s="2" t="s">
        <v>63</v>
      </c>
      <c r="G16" s="2" t="s">
        <v>53</v>
      </c>
      <c r="H16" s="2" t="s">
        <v>171</v>
      </c>
      <c r="I16" s="2" t="s">
        <v>172</v>
      </c>
      <c r="J16" s="27" t="s">
        <v>81</v>
      </c>
      <c r="K16" s="27" t="s">
        <v>104</v>
      </c>
      <c r="L16" s="2">
        <v>5362</v>
      </c>
      <c r="M16" s="2">
        <v>5362</v>
      </c>
      <c r="N16" s="26" t="s">
        <v>69</v>
      </c>
      <c r="O16" s="2" t="s">
        <v>105</v>
      </c>
      <c r="P16" s="2" t="s">
        <v>60</v>
      </c>
      <c r="Q16" s="2"/>
      <c r="R16" s="20" t="s">
        <v>60</v>
      </c>
      <c r="S16" s="20" t="s">
        <v>61</v>
      </c>
      <c r="T16" s="2" t="s">
        <v>97</v>
      </c>
      <c r="U16" s="2"/>
      <c r="V16" s="2"/>
      <c r="W16" s="2" t="s">
        <v>54</v>
      </c>
      <c r="X16" s="2"/>
      <c r="Y16" s="2"/>
      <c r="Z16" s="2"/>
    </row>
    <row r="17" spans="1:26" ht="132.75" customHeight="1" x14ac:dyDescent="0.25">
      <c r="A17" s="24">
        <v>46272</v>
      </c>
      <c r="B17" s="2" t="s">
        <v>173</v>
      </c>
      <c r="C17" s="2" t="s">
        <v>106</v>
      </c>
      <c r="D17" s="20" t="s">
        <v>124</v>
      </c>
      <c r="E17" s="20" t="s">
        <v>125</v>
      </c>
      <c r="F17" s="2" t="s">
        <v>63</v>
      </c>
      <c r="G17" s="2" t="s">
        <v>53</v>
      </c>
      <c r="H17" s="2" t="s">
        <v>174</v>
      </c>
      <c r="I17" s="2" t="s">
        <v>175</v>
      </c>
      <c r="J17" s="27" t="s">
        <v>107</v>
      </c>
      <c r="K17" s="27" t="s">
        <v>104</v>
      </c>
      <c r="L17" s="2">
        <v>5362</v>
      </c>
      <c r="M17" s="2">
        <v>5362</v>
      </c>
      <c r="N17" s="26" t="s">
        <v>69</v>
      </c>
      <c r="O17" s="2" t="s">
        <v>108</v>
      </c>
      <c r="P17" s="2" t="s">
        <v>70</v>
      </c>
      <c r="Q17" s="2"/>
      <c r="R17" s="20" t="s">
        <v>60</v>
      </c>
      <c r="S17" s="20" t="s">
        <v>61</v>
      </c>
      <c r="T17" s="2" t="s">
        <v>71</v>
      </c>
      <c r="U17" s="2"/>
      <c r="V17" s="2"/>
      <c r="W17" s="2" t="s">
        <v>54</v>
      </c>
      <c r="X17" s="2"/>
      <c r="Y17" s="2"/>
      <c r="Z17" s="2"/>
    </row>
    <row r="18" spans="1:26" ht="121.5" customHeight="1" x14ac:dyDescent="0.25">
      <c r="A18" s="24">
        <v>46272</v>
      </c>
      <c r="B18" s="2" t="s">
        <v>176</v>
      </c>
      <c r="C18" s="2" t="s">
        <v>122</v>
      </c>
      <c r="D18" s="20" t="s">
        <v>128</v>
      </c>
      <c r="E18" s="20" t="s">
        <v>123</v>
      </c>
      <c r="F18" s="2" t="s">
        <v>63</v>
      </c>
      <c r="G18" s="2" t="s">
        <v>53</v>
      </c>
      <c r="H18" s="2" t="s">
        <v>177</v>
      </c>
      <c r="I18" s="2" t="s">
        <v>178</v>
      </c>
      <c r="J18" s="27" t="s">
        <v>90</v>
      </c>
      <c r="K18" s="27" t="s">
        <v>91</v>
      </c>
      <c r="L18" s="2">
        <v>5362</v>
      </c>
      <c r="M18" s="2">
        <v>5362</v>
      </c>
      <c r="N18" s="26" t="s">
        <v>69</v>
      </c>
      <c r="O18" s="2" t="s">
        <v>126</v>
      </c>
      <c r="P18" s="2" t="s">
        <v>60</v>
      </c>
      <c r="Q18" s="2"/>
      <c r="R18" s="20" t="s">
        <v>60</v>
      </c>
      <c r="S18" s="20" t="s">
        <v>61</v>
      </c>
      <c r="T18" s="2" t="s">
        <v>71</v>
      </c>
      <c r="U18" s="2"/>
      <c r="V18" s="2"/>
      <c r="W18" s="2" t="s">
        <v>54</v>
      </c>
      <c r="X18" s="2"/>
      <c r="Y18" s="2"/>
      <c r="Z18" s="2"/>
    </row>
    <row r="19" spans="1:26" ht="90" customHeight="1" x14ac:dyDescent="0.25">
      <c r="A19" s="24">
        <v>46272</v>
      </c>
      <c r="B19" s="2" t="s">
        <v>179</v>
      </c>
      <c r="C19" s="2" t="s">
        <v>127</v>
      </c>
      <c r="D19" s="20" t="s">
        <v>132</v>
      </c>
      <c r="E19" s="20" t="s">
        <v>129</v>
      </c>
      <c r="F19" s="2" t="s">
        <v>63</v>
      </c>
      <c r="G19" s="2" t="s">
        <v>53</v>
      </c>
      <c r="H19" s="2" t="s">
        <v>181</v>
      </c>
      <c r="I19" s="2" t="s">
        <v>180</v>
      </c>
      <c r="J19" s="27" t="s">
        <v>130</v>
      </c>
      <c r="K19" s="27" t="s">
        <v>94</v>
      </c>
      <c r="L19" s="2">
        <v>5362</v>
      </c>
      <c r="M19" s="2">
        <v>5362</v>
      </c>
      <c r="N19" s="26" t="s">
        <v>69</v>
      </c>
      <c r="O19" s="2" t="s">
        <v>131</v>
      </c>
      <c r="P19" s="2" t="s">
        <v>70</v>
      </c>
      <c r="Q19" s="2"/>
      <c r="R19" s="20" t="s">
        <v>60</v>
      </c>
      <c r="S19" s="20" t="s">
        <v>61</v>
      </c>
      <c r="T19" s="2" t="s">
        <v>71</v>
      </c>
      <c r="U19" s="2"/>
      <c r="V19" s="2"/>
      <c r="W19" s="2" t="s">
        <v>54</v>
      </c>
      <c r="X19" s="2"/>
      <c r="Y19" s="2"/>
      <c r="Z19" s="2"/>
    </row>
    <row r="20" spans="1:26" ht="63" customHeight="1" x14ac:dyDescent="0.25">
      <c r="A20" s="24">
        <v>46272</v>
      </c>
      <c r="B20" s="2" t="s">
        <v>182</v>
      </c>
      <c r="C20" s="2" t="s">
        <v>133</v>
      </c>
      <c r="D20" s="20" t="s">
        <v>134</v>
      </c>
      <c r="E20" s="20" t="s">
        <v>134</v>
      </c>
      <c r="F20" s="2" t="s">
        <v>63</v>
      </c>
      <c r="G20" s="2" t="s">
        <v>53</v>
      </c>
      <c r="H20" s="2" t="s">
        <v>183</v>
      </c>
      <c r="I20" s="2" t="s">
        <v>184</v>
      </c>
      <c r="J20" s="27" t="s">
        <v>135</v>
      </c>
      <c r="K20" s="27" t="s">
        <v>91</v>
      </c>
      <c r="L20" s="2">
        <v>5362</v>
      </c>
      <c r="M20" s="2">
        <v>5362</v>
      </c>
      <c r="N20" s="26" t="s">
        <v>69</v>
      </c>
      <c r="O20" s="2" t="s">
        <v>136</v>
      </c>
      <c r="P20" s="2" t="s">
        <v>70</v>
      </c>
      <c r="Q20" s="2"/>
      <c r="R20" s="20" t="s">
        <v>60</v>
      </c>
      <c r="S20" s="20" t="s">
        <v>61</v>
      </c>
      <c r="T20" s="2" t="s">
        <v>71</v>
      </c>
      <c r="U20" s="2"/>
      <c r="V20" s="2"/>
      <c r="W20" s="2" t="s">
        <v>54</v>
      </c>
      <c r="X20" s="2"/>
      <c r="Y20" s="2"/>
      <c r="Z20" s="2"/>
    </row>
    <row r="21" spans="1:26" ht="95.25" customHeight="1" x14ac:dyDescent="0.25">
      <c r="A21" s="24">
        <v>46272</v>
      </c>
      <c r="B21" s="2" t="s">
        <v>185</v>
      </c>
      <c r="C21" s="2" t="s">
        <v>139</v>
      </c>
      <c r="D21" s="20" t="s">
        <v>137</v>
      </c>
      <c r="E21" s="20" t="s">
        <v>138</v>
      </c>
      <c r="F21" s="2" t="s">
        <v>63</v>
      </c>
      <c r="G21" s="2" t="s">
        <v>53</v>
      </c>
      <c r="H21" s="2" t="s">
        <v>186</v>
      </c>
      <c r="I21" s="2" t="s">
        <v>187</v>
      </c>
      <c r="J21" s="27" t="s">
        <v>81</v>
      </c>
      <c r="K21" s="27" t="s">
        <v>94</v>
      </c>
      <c r="L21" s="2">
        <v>5362</v>
      </c>
      <c r="M21" s="2">
        <v>5362</v>
      </c>
      <c r="N21" s="26" t="s">
        <v>69</v>
      </c>
      <c r="O21" s="2" t="s">
        <v>140</v>
      </c>
      <c r="P21" s="2" t="s">
        <v>70</v>
      </c>
      <c r="Q21" s="2"/>
      <c r="R21" s="20" t="s">
        <v>60</v>
      </c>
      <c r="S21" s="20" t="s">
        <v>61</v>
      </c>
      <c r="T21" s="2" t="s">
        <v>71</v>
      </c>
      <c r="U21" s="2"/>
      <c r="V21" s="2"/>
      <c r="W21" s="2" t="s">
        <v>54</v>
      </c>
      <c r="X21" s="2"/>
      <c r="Y21" s="2"/>
      <c r="Z21" s="2"/>
    </row>
    <row r="22" spans="1:26" ht="87" customHeight="1" x14ac:dyDescent="0.25">
      <c r="A22" s="24">
        <v>46272</v>
      </c>
      <c r="B22" s="2" t="s">
        <v>188</v>
      </c>
      <c r="C22" s="2" t="s">
        <v>141</v>
      </c>
      <c r="D22" s="20" t="s">
        <v>142</v>
      </c>
      <c r="E22" s="20" t="s">
        <v>143</v>
      </c>
      <c r="F22" s="2" t="s">
        <v>63</v>
      </c>
      <c r="G22" s="2" t="s">
        <v>53</v>
      </c>
      <c r="H22" s="2" t="s">
        <v>189</v>
      </c>
      <c r="I22" s="2" t="s">
        <v>190</v>
      </c>
      <c r="J22" s="27" t="s">
        <v>78</v>
      </c>
      <c r="K22" s="27" t="s">
        <v>94</v>
      </c>
      <c r="L22" s="2">
        <v>5362</v>
      </c>
      <c r="M22" s="2">
        <v>5362</v>
      </c>
      <c r="N22" s="26" t="s">
        <v>69</v>
      </c>
      <c r="O22" s="2" t="s">
        <v>144</v>
      </c>
      <c r="P22" s="2" t="s">
        <v>70</v>
      </c>
      <c r="Q22" s="2"/>
      <c r="R22" s="20" t="s">
        <v>60</v>
      </c>
      <c r="S22" s="20" t="s">
        <v>61</v>
      </c>
      <c r="T22" s="2" t="s">
        <v>71</v>
      </c>
      <c r="U22" s="2"/>
      <c r="V22" s="2"/>
      <c r="W22" s="2" t="s">
        <v>54</v>
      </c>
      <c r="X22" s="2"/>
      <c r="Y22" s="2"/>
      <c r="Z22" s="2"/>
    </row>
    <row r="23" spans="1:26" ht="1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sheetData>
  <mergeCells count="2">
    <mergeCell ref="A2:H2"/>
    <mergeCell ref="A3:H3"/>
  </mergeCell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FB26ED47B7A040B9694E280C8A028C" ma:contentTypeVersion="17" ma:contentTypeDescription="Create a new document." ma:contentTypeScope="" ma:versionID="51694721c5993bd1d7ee31732747c74d">
  <xsd:schema xmlns:xsd="http://www.w3.org/2001/XMLSchema" xmlns:xs="http://www.w3.org/2001/XMLSchema" xmlns:p="http://schemas.microsoft.com/office/2006/metadata/properties" xmlns:ns2="b8c92ccb-f7f9-43b8-b828-8634382970d0" xmlns:ns3="bc464197-6a6a-4722-a0be-b24c34e3dd9e" xmlns:ns4="edb9d0e4-5370-4cfb-9e4e-bdf6de379f60" targetNamespace="http://schemas.microsoft.com/office/2006/metadata/properties" ma:root="true" ma:fieldsID="2abadf83116fb303de7750466b9c1ce8" ns2:_="" ns3:_="" ns4:_="">
    <xsd:import namespace="b8c92ccb-f7f9-43b8-b828-8634382970d0"/>
    <xsd:import namespace="bc464197-6a6a-4722-a0be-b24c34e3dd9e"/>
    <xsd:import namespace="edb9d0e4-5370-4cfb-9e4e-bdf6de379f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MediaServiceObjectDetectorVersions" minOccurs="0"/>
                <xsd:element ref="ns2:MediaServiceSearchProperties" minOccurs="0"/>
                <xsd:element ref="ns2:MediaServiceGenerationTime" minOccurs="0"/>
                <xsd:element ref="ns2:MediaServiceEventHashCode" minOccurs="0"/>
                <xsd:element ref="ns2:lcf76f155ced4ddcb4097134ff3c332f" minOccurs="0"/>
                <xsd:element ref="ns4: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c92ccb-f7f9-43b8-b828-8634382970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464197-6a6a-4722-a0be-b24c34e3dd9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b9d0e4-5370-4cfb-9e4e-bdf6de379f6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444c4e5-5b45-4513-9f19-d33931cb2c8c}" ma:internalName="TaxCatchAll" ma:showField="CatchAllData" ma:web="bc464197-6a6a-4722-a0be-b24c34e3dd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b9d0e4-5370-4cfb-9e4e-bdf6de379f60" xsi:nil="true"/>
    <SharedWithUsers xmlns="bc464197-6a6a-4722-a0be-b24c34e3dd9e">
      <UserInfo>
        <DisplayName>Samantha Berman</DisplayName>
        <AccountId>50</AccountId>
        <AccountType/>
      </UserInfo>
    </SharedWithUsers>
    <lcf76f155ced4ddcb4097134ff3c332f xmlns="b8c92ccb-f7f9-43b8-b828-8634382970d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4EE2F2F-2877-498F-B100-D17CB72029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c92ccb-f7f9-43b8-b828-8634382970d0"/>
    <ds:schemaRef ds:uri="bc464197-6a6a-4722-a0be-b24c34e3dd9e"/>
    <ds:schemaRef ds:uri="edb9d0e4-5370-4cfb-9e4e-bdf6de379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94028F-5AB4-417F-915C-72EAB37A02CF}">
  <ds:schemaRefs>
    <ds:schemaRef ds:uri="http://schemas.microsoft.com/sharepoint/v3/contenttype/forms"/>
  </ds:schemaRefs>
</ds:datastoreItem>
</file>

<file path=customXml/itemProps3.xml><?xml version="1.0" encoding="utf-8"?>
<ds:datastoreItem xmlns:ds="http://schemas.openxmlformats.org/officeDocument/2006/customXml" ds:itemID="{9B64A78E-FA98-4BD6-A16D-D65CD3857185}">
  <ds:schemaRefs>
    <ds:schemaRef ds:uri="http://schemas.microsoft.com/office/2006/metadata/properties"/>
    <ds:schemaRef ds:uri="http://schemas.microsoft.com/office/infopath/2007/PartnerControls"/>
    <ds:schemaRef ds:uri="edb9d0e4-5370-4cfb-9e4e-bdf6de379f60"/>
    <ds:schemaRef ds:uri="bc464197-6a6a-4722-a0be-b24c34e3dd9e"/>
    <ds:schemaRef ds:uri="b8c92ccb-f7f9-43b8-b828-8634382970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Goldsworthy</dc:creator>
  <cp:keywords/>
  <dc:description/>
  <cp:lastModifiedBy>Imran Shah</cp:lastModifiedBy>
  <cp:revision/>
  <dcterms:created xsi:type="dcterms:W3CDTF">2021-06-08T10:08:39Z</dcterms:created>
  <dcterms:modified xsi:type="dcterms:W3CDTF">2026-09-07T15:00:02Z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0x01010071FB26ED47B7A040B9694E280C8A028C</vt:lpwstr>
  </property>
  <property fmtid="{D5CDD505-2E9C-101B-9397-08002B2CF9AE}" pid="3" name="MediaServiceImageTags">
    <vt:lpwstr/>
  </property>
</Properties>
</file>